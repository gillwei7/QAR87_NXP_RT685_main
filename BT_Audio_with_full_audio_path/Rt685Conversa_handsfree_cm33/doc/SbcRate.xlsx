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30" i="1" l="1"/>
  <c r="H29" i="1"/>
  <c r="H30" i="1"/>
  <c r="G29" i="1"/>
  <c r="L20" i="1"/>
  <c r="J20" i="1"/>
  <c r="K20" i="1" s="1"/>
  <c r="M26" i="1"/>
  <c r="L19" i="1"/>
  <c r="J19" i="1"/>
  <c r="L18" i="1"/>
  <c r="J18" i="1"/>
  <c r="K18" i="1" s="1"/>
  <c r="K19" i="1" l="1"/>
  <c r="J8" i="1"/>
  <c r="K8" i="1" s="1"/>
  <c r="L8" i="1"/>
  <c r="J9" i="1"/>
  <c r="L9" i="1"/>
  <c r="J10" i="1"/>
  <c r="L10" i="1"/>
  <c r="J11" i="1"/>
  <c r="L11" i="1"/>
  <c r="K11" i="1" s="1"/>
  <c r="J12" i="1"/>
  <c r="L12" i="1"/>
  <c r="J13" i="1"/>
  <c r="L13" i="1"/>
  <c r="J14" i="1"/>
  <c r="L14" i="1"/>
  <c r="J7" i="1"/>
  <c r="L7" i="1"/>
  <c r="J6" i="1"/>
  <c r="L6" i="1"/>
  <c r="L5" i="1"/>
  <c r="J5" i="1"/>
  <c r="K5" i="1" s="1"/>
  <c r="K9" i="1" l="1"/>
  <c r="K12" i="1"/>
  <c r="K14" i="1"/>
  <c r="K10" i="1"/>
  <c r="K7" i="1"/>
  <c r="K13" i="1"/>
  <c r="K6" i="1"/>
</calcChain>
</file>

<file path=xl/sharedStrings.xml><?xml version="1.0" encoding="utf-8"?>
<sst xmlns="http://schemas.openxmlformats.org/spreadsheetml/2006/main" count="21" uniqueCount="17">
  <si>
    <t>big city</t>
    <phoneticPr fontId="1" type="noConversion"/>
  </si>
  <si>
    <t>mama</t>
    <phoneticPr fontId="1" type="noConversion"/>
  </si>
  <si>
    <t>1111hz_16k</t>
    <phoneticPr fontId="1" type="noConversion"/>
  </si>
  <si>
    <t>1111hz_44.1k</t>
    <phoneticPr fontId="1" type="noConversion"/>
  </si>
  <si>
    <t>1111hz_48k</t>
    <phoneticPr fontId="1" type="noConversion"/>
  </si>
  <si>
    <t>1111hz_96k</t>
    <phoneticPr fontId="1" type="noConversion"/>
  </si>
  <si>
    <t>strating packet</t>
    <phoneticPr fontId="1" type="noConversion"/>
  </si>
  <si>
    <t>ending packet</t>
    <phoneticPr fontId="1" type="noConversion"/>
  </si>
  <si>
    <t>duration (s)</t>
    <phoneticPr fontId="1" type="noConversion"/>
  </si>
  <si>
    <t>starting timestamp</t>
    <phoneticPr fontId="1" type="noConversion"/>
  </si>
  <si>
    <t>ending timestamp</t>
    <phoneticPr fontId="1" type="noConversion"/>
  </si>
  <si>
    <t>packet length (ms)</t>
    <phoneticPr fontId="1" type="noConversion"/>
  </si>
  <si>
    <t>packet length (time stamp tick)</t>
    <phoneticPr fontId="1" type="noConversion"/>
  </si>
  <si>
    <t>time stamp tick length (ms)</t>
    <phoneticPr fontId="1" type="noConversion"/>
  </si>
  <si>
    <t>packet length in bytes</t>
    <phoneticPr fontId="1" type="noConversion"/>
  </si>
  <si>
    <t>mp3 file</t>
    <phoneticPr fontId="1" type="noConversion"/>
  </si>
  <si>
    <t>wav file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</si>
</sst>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1" applyAlignment="1">
      <alignment horizontal="center" wrapText="1"/>
    </xf>
    <xf numFmtId="176" fontId="2" fillId="2" borderId="0" xfId="1" applyNumberFormat="1" applyAlignment="1">
      <alignment horizontal="center" vertical="center" wrapText="1"/>
    </xf>
  </cellXfs>
  <cellStyles count="2">
    <cellStyle name="好" xfId="1" builtinId="26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30"/>
  <sheetViews>
    <sheetView tabSelected="1" workbookViewId="0">
      <selection activeCell="I31" sqref="I31"/>
    </sheetView>
  </sheetViews>
  <sheetFormatPr defaultRowHeight="13.5" x14ac:dyDescent="0.15"/>
  <cols>
    <col min="2" max="2" width="9" style="1"/>
    <col min="3" max="3" width="18.625" style="1" customWidth="1"/>
    <col min="4" max="12" width="12" style="1" customWidth="1"/>
    <col min="13" max="15" width="11.625" style="1" customWidth="1"/>
  </cols>
  <sheetData>
    <row r="4" spans="2:15" s="4" customFormat="1" ht="54" x14ac:dyDescent="0.15">
      <c r="B4" s="2"/>
      <c r="C4" s="2"/>
      <c r="D4" s="2" t="s">
        <v>14</v>
      </c>
      <c r="E4" s="2" t="s">
        <v>8</v>
      </c>
      <c r="F4" s="2" t="s">
        <v>6</v>
      </c>
      <c r="G4" s="2" t="s">
        <v>7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/>
      <c r="N4" s="2"/>
      <c r="O4" s="2"/>
    </row>
    <row r="5" spans="2:15" s="3" customFormat="1" ht="21" customHeight="1" x14ac:dyDescent="0.15">
      <c r="B5" s="6" t="s">
        <v>15</v>
      </c>
      <c r="C5" s="2" t="s">
        <v>0</v>
      </c>
      <c r="D5" s="2">
        <v>582</v>
      </c>
      <c r="E5" s="2">
        <v>30</v>
      </c>
      <c r="F5" s="2">
        <v>2568</v>
      </c>
      <c r="G5" s="2">
        <v>4046</v>
      </c>
      <c r="H5" s="2">
        <v>2299392</v>
      </c>
      <c r="I5" s="2">
        <v>3622912</v>
      </c>
      <c r="J5" s="5">
        <f>E5*1000/(G5-F5)</f>
        <v>20.297699594046009</v>
      </c>
      <c r="K5" s="5">
        <f>J5/L5</f>
        <v>895.48037889039244</v>
      </c>
      <c r="L5" s="5">
        <f>E5*1000/(I5-H5)</f>
        <v>2.2666827852998065E-2</v>
      </c>
      <c r="M5" s="2"/>
      <c r="N5" s="2"/>
      <c r="O5" s="2"/>
    </row>
    <row r="6" spans="2:15" s="3" customFormat="1" ht="21" customHeight="1" x14ac:dyDescent="0.15">
      <c r="B6" s="6"/>
      <c r="C6" s="2" t="s">
        <v>1</v>
      </c>
      <c r="D6" s="2">
        <v>582</v>
      </c>
      <c r="E6" s="2">
        <v>30</v>
      </c>
      <c r="F6" s="2">
        <v>28924</v>
      </c>
      <c r="G6" s="2">
        <v>30406</v>
      </c>
      <c r="H6" s="2">
        <v>25902720</v>
      </c>
      <c r="I6" s="2">
        <v>27230080</v>
      </c>
      <c r="J6" s="5">
        <f>E6*1000/(G6-F6)</f>
        <v>20.242914979757085</v>
      </c>
      <c r="K6" s="5">
        <f>J6/L6</f>
        <v>895.65452091767884</v>
      </c>
      <c r="L6" s="5">
        <f>E6*1000/(I6-H6)</f>
        <v>2.2601253616200578E-2</v>
      </c>
      <c r="M6" s="2"/>
      <c r="N6" s="2"/>
      <c r="O6" s="2"/>
    </row>
    <row r="7" spans="2:15" s="3" customFormat="1" ht="21" customHeight="1" x14ac:dyDescent="0.15">
      <c r="B7" s="6"/>
      <c r="C7" s="2" t="s">
        <v>2</v>
      </c>
      <c r="D7" s="2">
        <v>582</v>
      </c>
      <c r="E7" s="2">
        <v>10</v>
      </c>
      <c r="F7" s="2">
        <v>44945</v>
      </c>
      <c r="G7" s="2">
        <v>45450</v>
      </c>
      <c r="H7" s="2">
        <v>40251008</v>
      </c>
      <c r="I7" s="2">
        <v>40703104</v>
      </c>
      <c r="J7" s="5">
        <f>E7*1000/(G7-F7)</f>
        <v>19.801980198019802</v>
      </c>
      <c r="K7" s="5">
        <f>J7/L7</f>
        <v>895.23960396039604</v>
      </c>
      <c r="L7" s="5">
        <f>E7*1000/(I7-H7)</f>
        <v>2.2119195922989807E-2</v>
      </c>
      <c r="M7" s="2"/>
      <c r="N7" s="2"/>
      <c r="O7" s="2"/>
    </row>
    <row r="8" spans="2:15" s="3" customFormat="1" ht="21" customHeight="1" x14ac:dyDescent="0.15">
      <c r="B8" s="6"/>
      <c r="C8" s="2" t="s">
        <v>3</v>
      </c>
      <c r="D8" s="2"/>
      <c r="E8" s="2"/>
      <c r="F8" s="2"/>
      <c r="G8" s="2"/>
      <c r="H8" s="2"/>
      <c r="I8" s="2"/>
      <c r="J8" s="5" t="e">
        <f t="shared" ref="J8:J14" si="0">E8*1000/(G8-F8)</f>
        <v>#DIV/0!</v>
      </c>
      <c r="K8" s="5" t="e">
        <f t="shared" ref="K8:K14" si="1">J8/L8</f>
        <v>#DIV/0!</v>
      </c>
      <c r="L8" s="5" t="e">
        <f t="shared" ref="L8:L14" si="2">E8*1000/(I8-H8)</f>
        <v>#DIV/0!</v>
      </c>
      <c r="M8" s="2"/>
      <c r="N8" s="2"/>
      <c r="O8" s="2"/>
    </row>
    <row r="9" spans="2:15" s="3" customFormat="1" ht="21" customHeight="1" x14ac:dyDescent="0.15">
      <c r="B9" s="6"/>
      <c r="C9" s="2" t="s">
        <v>4</v>
      </c>
      <c r="D9" s="2">
        <v>582</v>
      </c>
      <c r="E9" s="2">
        <v>10</v>
      </c>
      <c r="F9" s="2">
        <v>216</v>
      </c>
      <c r="G9" s="2">
        <v>706</v>
      </c>
      <c r="H9" s="2">
        <v>193536</v>
      </c>
      <c r="I9" s="2">
        <v>632448</v>
      </c>
      <c r="J9" s="5">
        <f t="shared" si="0"/>
        <v>20.408163265306122</v>
      </c>
      <c r="K9" s="5">
        <f t="shared" si="1"/>
        <v>895.73877551020405</v>
      </c>
      <c r="L9" s="5">
        <f t="shared" si="2"/>
        <v>2.278361038203558E-2</v>
      </c>
      <c r="M9" s="2"/>
      <c r="N9" s="2"/>
      <c r="O9" s="2"/>
    </row>
    <row r="10" spans="2:15" s="3" customFormat="1" ht="21" customHeight="1" x14ac:dyDescent="0.15">
      <c r="B10" s="6"/>
      <c r="C10" s="2" t="s">
        <v>5</v>
      </c>
      <c r="D10" s="2"/>
      <c r="E10" s="2"/>
      <c r="F10" s="2"/>
      <c r="G10" s="2"/>
      <c r="H10" s="2"/>
      <c r="I10" s="2"/>
      <c r="J10" s="5" t="e">
        <f t="shared" si="0"/>
        <v>#DIV/0!</v>
      </c>
      <c r="K10" s="5" t="e">
        <f t="shared" si="1"/>
        <v>#DIV/0!</v>
      </c>
      <c r="L10" s="5" t="e">
        <f t="shared" si="2"/>
        <v>#DIV/0!</v>
      </c>
      <c r="M10" s="2"/>
      <c r="N10" s="2"/>
      <c r="O10" s="2"/>
    </row>
    <row r="11" spans="2:15" ht="21" customHeight="1" x14ac:dyDescent="0.15">
      <c r="B11" s="6" t="s">
        <v>16</v>
      </c>
      <c r="C11" s="2" t="s">
        <v>2</v>
      </c>
      <c r="D11" s="2">
        <v>582</v>
      </c>
      <c r="E11" s="2">
        <v>10</v>
      </c>
      <c r="F11" s="1">
        <v>48829</v>
      </c>
      <c r="G11" s="1">
        <v>49370</v>
      </c>
      <c r="H11" s="1">
        <v>43729727</v>
      </c>
      <c r="I11" s="1">
        <v>44214528</v>
      </c>
      <c r="J11" s="5">
        <f t="shared" si="0"/>
        <v>18.484288354898336</v>
      </c>
      <c r="K11" s="5">
        <f t="shared" si="1"/>
        <v>896.12014787430678</v>
      </c>
      <c r="L11" s="5">
        <f t="shared" si="2"/>
        <v>2.0627020158786803E-2</v>
      </c>
    </row>
    <row r="12" spans="2:15" ht="21" customHeight="1" x14ac:dyDescent="0.15">
      <c r="B12" s="6"/>
      <c r="C12" s="2" t="s">
        <v>3</v>
      </c>
      <c r="D12" s="2">
        <v>582</v>
      </c>
      <c r="E12" s="2">
        <v>10</v>
      </c>
      <c r="F12" s="1">
        <v>968</v>
      </c>
      <c r="G12" s="1">
        <v>1460</v>
      </c>
      <c r="H12" s="1">
        <v>867200</v>
      </c>
      <c r="I12" s="1">
        <v>1307904</v>
      </c>
      <c r="J12" s="5">
        <f t="shared" si="0"/>
        <v>20.325203252032519</v>
      </c>
      <c r="K12" s="5">
        <f t="shared" si="1"/>
        <v>895.73983739837388</v>
      </c>
      <c r="L12" s="5">
        <f t="shared" si="2"/>
        <v>2.2690967179785072E-2</v>
      </c>
    </row>
    <row r="13" spans="2:15" ht="21" customHeight="1" x14ac:dyDescent="0.15">
      <c r="B13" s="6"/>
      <c r="C13" s="2" t="s">
        <v>4</v>
      </c>
      <c r="D13" s="2">
        <v>582</v>
      </c>
      <c r="E13" s="2">
        <v>10</v>
      </c>
      <c r="F13" s="1">
        <v>795</v>
      </c>
      <c r="G13" s="1">
        <v>1323</v>
      </c>
      <c r="H13" s="1">
        <v>712192</v>
      </c>
      <c r="I13" s="1">
        <v>1185280</v>
      </c>
      <c r="J13" s="5">
        <f t="shared" si="0"/>
        <v>18.939393939393938</v>
      </c>
      <c r="K13" s="5">
        <f t="shared" si="1"/>
        <v>895.99999999999989</v>
      </c>
      <c r="L13" s="5">
        <f t="shared" si="2"/>
        <v>2.1137716450216452E-2</v>
      </c>
    </row>
    <row r="14" spans="2:15" ht="21" customHeight="1" x14ac:dyDescent="0.15">
      <c r="B14" s="6"/>
      <c r="C14" s="2" t="s">
        <v>5</v>
      </c>
      <c r="E14" s="1">
        <v>10</v>
      </c>
      <c r="F14" s="1">
        <v>12549</v>
      </c>
      <c r="G14" s="1">
        <v>13069</v>
      </c>
      <c r="H14" s="1">
        <v>11232512</v>
      </c>
      <c r="I14" s="1">
        <v>11693952</v>
      </c>
      <c r="J14" s="5">
        <f t="shared" si="0"/>
        <v>19.23076923076923</v>
      </c>
      <c r="K14" s="5">
        <f t="shared" si="1"/>
        <v>887.38461538461536</v>
      </c>
      <c r="L14" s="5">
        <f t="shared" si="2"/>
        <v>2.1671289875173371E-2</v>
      </c>
    </row>
    <row r="18" spans="4:13" x14ac:dyDescent="0.15">
      <c r="D18" s="1">
        <v>581</v>
      </c>
      <c r="E18" s="1">
        <v>60</v>
      </c>
      <c r="F18" s="1">
        <v>0</v>
      </c>
      <c r="G18" s="1">
        <v>2910</v>
      </c>
      <c r="H18" s="1">
        <v>0</v>
      </c>
      <c r="I18" s="1">
        <v>2606208</v>
      </c>
      <c r="J18" s="5">
        <f t="shared" ref="J18" si="3">E18*1000/(G18-F18)</f>
        <v>20.618556701030929</v>
      </c>
      <c r="K18" s="5">
        <f t="shared" ref="K18" si="4">J18/L18</f>
        <v>895.60412371134021</v>
      </c>
      <c r="L18" s="5">
        <f t="shared" ref="L18" si="5">E18*1000/(I18-H18)</f>
        <v>2.3021953735081774E-2</v>
      </c>
    </row>
    <row r="19" spans="4:13" x14ac:dyDescent="0.15">
      <c r="D19" s="7">
        <v>581</v>
      </c>
      <c r="E19" s="7">
        <v>60</v>
      </c>
      <c r="F19" s="7">
        <v>0</v>
      </c>
      <c r="G19" s="7">
        <v>2948</v>
      </c>
      <c r="H19" s="7">
        <v>0</v>
      </c>
      <c r="I19" s="7">
        <v>2637952</v>
      </c>
      <c r="J19" s="8">
        <f t="shared" ref="J19" si="6">E19*1000/(G19-F19)</f>
        <v>20.352781546811396</v>
      </c>
      <c r="K19" s="8">
        <f t="shared" ref="K19" si="7">J19/L19</f>
        <v>894.8276797829036</v>
      </c>
      <c r="L19" s="8">
        <f t="shared" ref="L19" si="8">E19*1000/(I19-H19)</f>
        <v>2.2744917269154254E-2</v>
      </c>
    </row>
    <row r="20" spans="4:13" x14ac:dyDescent="0.15">
      <c r="E20" s="1">
        <v>60</v>
      </c>
      <c r="F20" s="1">
        <v>0</v>
      </c>
      <c r="G20" s="1">
        <v>2919</v>
      </c>
      <c r="H20" s="1">
        <v>0</v>
      </c>
      <c r="I20" s="1">
        <v>2614798</v>
      </c>
      <c r="J20" s="8">
        <f t="shared" ref="J20" si="9">E20*1000/(G20-F20)</f>
        <v>20.554984583761563</v>
      </c>
      <c r="K20" s="8">
        <f t="shared" ref="K20" si="10">J20/L20</f>
        <v>895.78554299417613</v>
      </c>
      <c r="L20" s="8">
        <f t="shared" ref="L20" si="11">E20*1000/(I20-H20)</f>
        <v>2.2946323195902705E-2</v>
      </c>
    </row>
    <row r="25" spans="4:13" x14ac:dyDescent="0.15">
      <c r="L25" s="1">
        <v>89.215999999999994</v>
      </c>
    </row>
    <row r="26" spans="4:13" x14ac:dyDescent="0.15">
      <c r="L26" s="1">
        <v>91.399000000000001</v>
      </c>
      <c r="M26" s="1">
        <f>L25/L26</f>
        <v>0.97611571242573758</v>
      </c>
    </row>
    <row r="29" spans="4:13" x14ac:dyDescent="0.15">
      <c r="E29" s="1">
        <v>20</v>
      </c>
      <c r="F29" s="1">
        <v>2518</v>
      </c>
      <c r="G29" s="1">
        <f>E29*F29</f>
        <v>50360</v>
      </c>
      <c r="H29" s="1">
        <f>G29*44.1</f>
        <v>2220876</v>
      </c>
    </row>
    <row r="30" spans="4:13" x14ac:dyDescent="0.15">
      <c r="E30" s="1">
        <v>128</v>
      </c>
      <c r="F30" s="1">
        <v>17159</v>
      </c>
      <c r="H30" s="1">
        <f>F30*E30</f>
        <v>2196352</v>
      </c>
      <c r="I30" s="1">
        <f>H30/H29</f>
        <v>0.9889575104598366</v>
      </c>
    </row>
  </sheetData>
  <mergeCells count="2">
    <mergeCell ref="B5:B10"/>
    <mergeCell ref="B11:B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2025-11-07T10:39:12Z</dcterms:modified>
</cp:coreProperties>
</file>